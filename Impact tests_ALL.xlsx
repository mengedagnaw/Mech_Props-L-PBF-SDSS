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py Impact Toughnes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<sst xmlns="http://schemas.openxmlformats.org/spreadsheetml/2006/main" count="136" uniqueCount="28">
  <si>
    <t xml:space="preserve">Standard Composition - SDSS 2507 _ Tested Perpendicular to the printing or building direction </t>
  </si>
  <si>
    <t xml:space="preserve">Standard Composition – SDSS 2507 + 3% Ni_Tested Perpendicular to the printing or building direction </t>
  </si>
  <si>
    <t xml:space="preserve">Standard Composition SDSS 2507 + 6% Ni_Tested Perpendicular to the printing or building direction </t>
  </si>
  <si>
    <t xml:space="preserve">Test series</t>
  </si>
  <si>
    <t xml:space="preserve">Impact energy [J]</t>
  </si>
  <si>
    <t xml:space="preserve">Sample condition</t>
  </si>
  <si>
    <t xml:space="preserve">Test 1</t>
  </si>
  <si>
    <t xml:space="preserve">AS </t>
  </si>
  <si>
    <t xml:space="preserve">SR 400/1h</t>
  </si>
  <si>
    <t xml:space="preserve">SR 350/2h</t>
  </si>
  <si>
    <t xml:space="preserve">Test 2</t>
  </si>
  <si>
    <t xml:space="preserve">Mean</t>
  </si>
  <si>
    <t xml:space="preserve">Test 3</t>
  </si>
  <si>
    <t xml:space="preserve">STDEV</t>
  </si>
  <si>
    <t xml:space="preserve">Test 4</t>
  </si>
  <si>
    <t xml:space="preserve">SR 425/1h</t>
  </si>
  <si>
    <t xml:space="preserve">Test 5</t>
  </si>
  <si>
    <t xml:space="preserve">SR 450/1h</t>
  </si>
  <si>
    <t xml:space="preserve">Test 6</t>
  </si>
  <si>
    <t xml:space="preserve">Test 7</t>
  </si>
  <si>
    <t xml:space="preserve">SR 525/1h</t>
  </si>
  <si>
    <t xml:space="preserve">SR 300/5h</t>
  </si>
  <si>
    <t xml:space="preserve">SR 500/1h</t>
  </si>
  <si>
    <t xml:space="preserve">SA 1150/10min</t>
  </si>
  <si>
    <t xml:space="preserve">SR 550/1h</t>
  </si>
  <si>
    <t xml:space="preserve">AS</t>
  </si>
  <si>
    <t xml:space="preserve">SR 550/5h</t>
  </si>
  <si>
    <t xml:space="preserve">SA 1100/15min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</si>
</sst>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O34" activeCellId="0" sqref="O34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4.33"/>
    <col collapsed="false" customWidth="true" hidden="false" outlineLevel="0" max="2" min="2" style="1" width="17.09"/>
    <col collapsed="false" customWidth="true" hidden="false" outlineLevel="0" max="3" min="3" style="1" width="18.74"/>
    <col collapsed="false" customWidth="false" hidden="false" outlineLevel="0" max="7" min="4" style="1" width="8.53"/>
    <col collapsed="false" customWidth="true" hidden="false" outlineLevel="0" max="8" min="8" style="1" width="18.41"/>
    <col collapsed="false" customWidth="true" hidden="false" outlineLevel="0" max="9" min="9" style="1" width="21.3"/>
    <col collapsed="false" customWidth="true" hidden="false" outlineLevel="0" max="10" min="10" style="1" width="20.4"/>
    <col collapsed="false" customWidth="true" hidden="false" outlineLevel="0" max="11" min="11" style="1" width="7.9"/>
    <col collapsed="false" customWidth="true" hidden="false" outlineLevel="0" max="12" min="12" style="1" width="12.11"/>
    <col collapsed="false" customWidth="false" hidden="false" outlineLevel="0" max="13" min="13" style="1" width="8.53"/>
    <col collapsed="false" customWidth="true" hidden="false" outlineLevel="0" max="14" min="14" style="1" width="12"/>
    <col collapsed="false" customWidth="true" hidden="false" outlineLevel="0" max="15" min="15" style="1" width="20.94"/>
    <col collapsed="false" customWidth="true" hidden="false" outlineLevel="0" max="16" min="16" style="1" width="11.79"/>
    <col collapsed="false" customWidth="true" hidden="false" outlineLevel="0" max="17" min="17" style="1" width="20.62"/>
    <col collapsed="false" customWidth="true" hidden="false" outlineLevel="0" max="18" min="18" style="1" width="20.17"/>
    <col collapsed="false" customWidth="true" hidden="false" outlineLevel="0" max="19" min="19" style="1" width="15.11"/>
    <col collapsed="false" customWidth="true" hidden="false" outlineLevel="0" max="20" min="20" style="1" width="14.66"/>
    <col collapsed="false" customWidth="false" hidden="false" outlineLevel="0" max="1024" min="21" style="1" width="8.53"/>
  </cols>
  <sheetData>
    <row r="1" customFormat="false" ht="22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3"/>
      <c r="Q1" s="2" t="s">
        <v>2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21.6" hidden="false" customHeight="true" outlineLevel="0" collapsed="false">
      <c r="A2" s="3" t="s">
        <v>3</v>
      </c>
      <c r="B2" s="3" t="s">
        <v>4</v>
      </c>
      <c r="C2" s="3" t="s">
        <v>5</v>
      </c>
      <c r="D2" s="4"/>
      <c r="E2" s="5"/>
      <c r="F2" s="4"/>
      <c r="G2" s="4"/>
      <c r="H2" s="3" t="s">
        <v>3</v>
      </c>
      <c r="I2" s="3" t="s">
        <v>4</v>
      </c>
      <c r="J2" s="3" t="s">
        <v>5</v>
      </c>
      <c r="K2" s="4"/>
      <c r="L2" s="3"/>
      <c r="M2" s="4"/>
      <c r="P2" s="3" t="s">
        <v>3</v>
      </c>
      <c r="Q2" s="3" t="s">
        <v>4</v>
      </c>
      <c r="R2" s="3" t="s">
        <v>5</v>
      </c>
      <c r="S2" s="4"/>
      <c r="T2" s="3"/>
    </row>
    <row r="3" customFormat="false" ht="13.5" hidden="false" customHeight="false" outlineLevel="0" collapsed="false">
      <c r="A3" s="4" t="s">
        <v>6</v>
      </c>
      <c r="B3" s="4" t="n">
        <v>89</v>
      </c>
      <c r="C3" s="4" t="s">
        <v>7</v>
      </c>
      <c r="D3" s="4"/>
      <c r="E3" s="5" t="n">
        <v>89</v>
      </c>
      <c r="F3" s="4"/>
      <c r="G3" s="4"/>
      <c r="H3" s="4" t="s">
        <v>6</v>
      </c>
      <c r="I3" s="4" t="n">
        <v>88</v>
      </c>
      <c r="J3" s="4" t="s">
        <v>8</v>
      </c>
      <c r="K3" s="4"/>
      <c r="L3" s="6" t="n">
        <v>88</v>
      </c>
      <c r="M3" s="4"/>
      <c r="P3" s="4" t="s">
        <v>6</v>
      </c>
      <c r="Q3" s="4" t="n">
        <v>312</v>
      </c>
      <c r="R3" s="4" t="s">
        <v>9</v>
      </c>
      <c r="S3" s="4"/>
      <c r="T3" s="5"/>
    </row>
    <row r="4" customFormat="false" ht="13.5" hidden="false" customHeight="false" outlineLevel="0" collapsed="false">
      <c r="A4" s="4" t="s">
        <v>10</v>
      </c>
      <c r="B4" s="4" t="n">
        <v>100</v>
      </c>
      <c r="C4" s="4" t="s">
        <v>7</v>
      </c>
      <c r="D4" s="4"/>
      <c r="E4" s="5" t="n">
        <v>100</v>
      </c>
      <c r="F4" s="4"/>
      <c r="G4" s="4"/>
      <c r="H4" s="4" t="s">
        <v>10</v>
      </c>
      <c r="I4" s="4" t="n">
        <v>114</v>
      </c>
      <c r="J4" s="4" t="s">
        <v>8</v>
      </c>
      <c r="K4" s="4"/>
      <c r="L4" s="6" t="n">
        <v>196</v>
      </c>
      <c r="M4" s="4"/>
      <c r="P4" s="4" t="s">
        <v>10</v>
      </c>
      <c r="Q4" s="4" t="n">
        <v>449</v>
      </c>
      <c r="R4" s="4" t="s">
        <v>9</v>
      </c>
      <c r="S4" s="3" t="s">
        <v>11</v>
      </c>
      <c r="T4" s="5" t="n">
        <f aca="false">AVERAGE(Q3:Q5)</f>
        <v>403.333333333333</v>
      </c>
    </row>
    <row r="5" customFormat="false" ht="13.5" hidden="false" customHeight="false" outlineLevel="0" collapsed="false">
      <c r="A5" s="4" t="s">
        <v>12</v>
      </c>
      <c r="B5" s="4" t="n">
        <v>105</v>
      </c>
      <c r="C5" s="4" t="s">
        <v>7</v>
      </c>
      <c r="D5" s="4"/>
      <c r="E5" s="5" t="n">
        <v>105</v>
      </c>
      <c r="F5" s="4"/>
      <c r="G5" s="4"/>
      <c r="H5" s="4" t="s">
        <v>12</v>
      </c>
      <c r="I5" s="4" t="n">
        <v>145</v>
      </c>
      <c r="J5" s="4" t="s">
        <v>8</v>
      </c>
      <c r="K5" s="3" t="s">
        <v>11</v>
      </c>
      <c r="L5" s="5" t="n">
        <f aca="false">AVERAGE(L3:L4)</f>
        <v>142</v>
      </c>
      <c r="M5" s="4"/>
      <c r="P5" s="4" t="s">
        <v>12</v>
      </c>
      <c r="Q5" s="4" t="n">
        <v>449</v>
      </c>
      <c r="R5" s="4" t="s">
        <v>9</v>
      </c>
      <c r="S5" s="3" t="s">
        <v>13</v>
      </c>
      <c r="T5" s="5" t="n">
        <f aca="false">STDEV(Q3:Q5)</f>
        <v>79.0969868789787</v>
      </c>
    </row>
    <row r="6" customFormat="false" ht="13.5" hidden="false" customHeight="false" outlineLevel="0" collapsed="false">
      <c r="A6" s="4" t="s">
        <v>14</v>
      </c>
      <c r="B6" s="4" t="n">
        <v>240</v>
      </c>
      <c r="C6" s="4" t="s">
        <v>7</v>
      </c>
      <c r="D6" s="4"/>
      <c r="E6" s="5" t="n">
        <v>154</v>
      </c>
      <c r="F6" s="4"/>
      <c r="G6" s="4"/>
      <c r="H6" s="4" t="s">
        <v>14</v>
      </c>
      <c r="I6" s="4" t="n">
        <v>196</v>
      </c>
      <c r="J6" s="4" t="s">
        <v>8</v>
      </c>
      <c r="K6" s="3" t="s">
        <v>13</v>
      </c>
      <c r="L6" s="5" t="n">
        <f aca="false">STDEV(L3:L4)</f>
        <v>76.3675323681471</v>
      </c>
      <c r="M6" s="4"/>
      <c r="P6" s="4"/>
      <c r="Q6" s="4"/>
      <c r="R6" s="4"/>
      <c r="S6" s="4"/>
      <c r="T6" s="5"/>
    </row>
    <row r="7" customFormat="false" ht="13.5" hidden="false" customHeight="false" outlineLevel="0" collapsed="false">
      <c r="A7" s="4" t="s">
        <v>14</v>
      </c>
      <c r="B7" s="4" t="n">
        <v>154</v>
      </c>
      <c r="C7" s="4" t="s">
        <v>7</v>
      </c>
      <c r="D7" s="4"/>
      <c r="E7" s="5" t="n">
        <v>92</v>
      </c>
      <c r="F7" s="4"/>
      <c r="G7" s="4"/>
      <c r="H7" s="4"/>
      <c r="I7" s="4"/>
      <c r="J7" s="4"/>
      <c r="K7" s="4"/>
      <c r="L7" s="3"/>
      <c r="M7" s="4"/>
      <c r="P7" s="4" t="s">
        <v>6</v>
      </c>
      <c r="Q7" s="4" t="n">
        <v>261</v>
      </c>
      <c r="R7" s="4" t="s">
        <v>15</v>
      </c>
      <c r="S7" s="4"/>
      <c r="T7" s="5"/>
    </row>
    <row r="8" customFormat="false" ht="13.5" hidden="false" customHeight="false" outlineLevel="0" collapsed="false">
      <c r="A8" s="4" t="s">
        <v>16</v>
      </c>
      <c r="B8" s="4" t="n">
        <v>45</v>
      </c>
      <c r="C8" s="4" t="s">
        <v>7</v>
      </c>
      <c r="D8" s="4"/>
      <c r="E8" s="5" t="n">
        <v>78</v>
      </c>
      <c r="F8" s="4"/>
      <c r="G8" s="4"/>
      <c r="H8" s="4" t="s">
        <v>6</v>
      </c>
      <c r="I8" s="4" t="n">
        <v>101</v>
      </c>
      <c r="J8" s="4" t="s">
        <v>17</v>
      </c>
      <c r="K8" s="4"/>
      <c r="L8" s="3"/>
      <c r="M8" s="4"/>
      <c r="P8" s="4" t="s">
        <v>10</v>
      </c>
      <c r="Q8" s="4" t="n">
        <v>301</v>
      </c>
      <c r="R8" s="4" t="s">
        <v>15</v>
      </c>
      <c r="S8" s="3" t="s">
        <v>11</v>
      </c>
      <c r="T8" s="5" t="n">
        <f aca="false">AVERAGE(Q7:Q9)</f>
        <v>274.333333333333</v>
      </c>
    </row>
    <row r="9" customFormat="false" ht="13.5" hidden="false" customHeight="false" outlineLevel="0" collapsed="false">
      <c r="A9" s="4" t="s">
        <v>18</v>
      </c>
      <c r="B9" s="4" t="n">
        <v>92</v>
      </c>
      <c r="C9" s="4" t="s">
        <v>7</v>
      </c>
      <c r="D9" s="3" t="s">
        <v>11</v>
      </c>
      <c r="E9" s="5" t="n">
        <f aca="false">AVERAGE(E3:E8)</f>
        <v>103</v>
      </c>
      <c r="F9" s="4"/>
      <c r="G9" s="4"/>
      <c r="H9" s="4" t="s">
        <v>10</v>
      </c>
      <c r="I9" s="4" t="n">
        <v>115</v>
      </c>
      <c r="J9" s="4" t="s">
        <v>17</v>
      </c>
      <c r="K9" s="3" t="s">
        <v>11</v>
      </c>
      <c r="L9" s="7" t="n">
        <f aca="false">AVERAGE(I8:I10)</f>
        <v>98.6666666666667</v>
      </c>
      <c r="M9" s="4"/>
      <c r="P9" s="4" t="s">
        <v>12</v>
      </c>
      <c r="Q9" s="4" t="n">
        <v>261</v>
      </c>
      <c r="R9" s="4" t="s">
        <v>15</v>
      </c>
      <c r="S9" s="3" t="s">
        <v>13</v>
      </c>
      <c r="T9" s="5" t="n">
        <f aca="false">STDEV(Q7:Q9)</f>
        <v>23.094010767585</v>
      </c>
    </row>
    <row r="10" customFormat="false" ht="13.5" hidden="false" customHeight="false" outlineLevel="0" collapsed="false">
      <c r="A10" s="4" t="s">
        <v>19</v>
      </c>
      <c r="B10" s="4" t="n">
        <v>78</v>
      </c>
      <c r="C10" s="4" t="s">
        <v>7</v>
      </c>
      <c r="D10" s="3" t="s">
        <v>13</v>
      </c>
      <c r="E10" s="5" t="n">
        <f aca="false">STDEV(E1:E8)</f>
        <v>26.6683332812533</v>
      </c>
      <c r="F10" s="4"/>
      <c r="G10" s="4"/>
      <c r="H10" s="4" t="s">
        <v>12</v>
      </c>
      <c r="I10" s="4" t="n">
        <v>80</v>
      </c>
      <c r="J10" s="4" t="s">
        <v>17</v>
      </c>
      <c r="K10" s="3" t="s">
        <v>13</v>
      </c>
      <c r="L10" s="7" t="n">
        <f aca="false">STDEV(I8:I10)</f>
        <v>17.6162803489651</v>
      </c>
      <c r="M10" s="4"/>
      <c r="P10" s="4"/>
      <c r="Q10" s="4"/>
      <c r="R10" s="4"/>
      <c r="S10" s="4"/>
      <c r="T10" s="5"/>
    </row>
    <row r="11" customFormat="false" ht="13.5" hidden="false" customHeight="false" outlineLevel="0" collapsed="false">
      <c r="A11" s="4"/>
      <c r="B11" s="4"/>
      <c r="C11" s="4"/>
      <c r="D11" s="3"/>
      <c r="E11" s="5"/>
      <c r="F11" s="4"/>
      <c r="G11" s="4"/>
      <c r="H11" s="4"/>
      <c r="I11" s="4"/>
      <c r="J11" s="4"/>
      <c r="K11" s="4"/>
      <c r="L11" s="3"/>
      <c r="M11" s="4"/>
      <c r="P11" s="4" t="s">
        <v>6</v>
      </c>
      <c r="Q11" s="4" t="n">
        <v>290</v>
      </c>
      <c r="R11" s="4" t="s">
        <v>20</v>
      </c>
      <c r="S11" s="4"/>
      <c r="T11" s="5"/>
    </row>
    <row r="12" customFormat="false" ht="13.5" hidden="false" customHeight="false" outlineLevel="0" collapsed="false">
      <c r="A12" s="4" t="s">
        <v>6</v>
      </c>
      <c r="B12" s="4" t="n">
        <v>95</v>
      </c>
      <c r="C12" s="4" t="s">
        <v>21</v>
      </c>
      <c r="D12" s="3" t="s">
        <v>11</v>
      </c>
      <c r="E12" s="5" t="n">
        <f aca="false">AVERAGE(B12:B13)</f>
        <v>122.5</v>
      </c>
      <c r="F12" s="4"/>
      <c r="G12" s="4"/>
      <c r="H12" s="4" t="s">
        <v>6</v>
      </c>
      <c r="I12" s="4" t="n">
        <v>205</v>
      </c>
      <c r="J12" s="4" t="s">
        <v>22</v>
      </c>
      <c r="K12" s="4"/>
      <c r="L12" s="3"/>
      <c r="M12" s="4"/>
      <c r="P12" s="4" t="s">
        <v>10</v>
      </c>
      <c r="Q12" s="4" t="n">
        <v>336</v>
      </c>
      <c r="R12" s="4" t="s">
        <v>20</v>
      </c>
      <c r="S12" s="3" t="s">
        <v>11</v>
      </c>
      <c r="T12" s="5" t="n">
        <f aca="false">AVERAGE(Q11:Q13)</f>
        <v>341.666666666667</v>
      </c>
    </row>
    <row r="13" customFormat="false" ht="13.5" hidden="false" customHeight="false" outlineLevel="0" collapsed="false">
      <c r="A13" s="4" t="s">
        <v>10</v>
      </c>
      <c r="B13" s="4" t="n">
        <v>150</v>
      </c>
      <c r="C13" s="4" t="s">
        <v>21</v>
      </c>
      <c r="D13" s="3" t="s">
        <v>13</v>
      </c>
      <c r="E13" s="5" t="n">
        <f aca="false">STDEV(B12:B13)</f>
        <v>38.8908729652601</v>
      </c>
      <c r="F13" s="4"/>
      <c r="G13" s="4"/>
      <c r="H13" s="4" t="s">
        <v>10</v>
      </c>
      <c r="I13" s="4" t="n">
        <v>155</v>
      </c>
      <c r="J13" s="4" t="s">
        <v>22</v>
      </c>
      <c r="K13" s="3" t="s">
        <v>11</v>
      </c>
      <c r="L13" s="7" t="n">
        <f aca="false">AVERAGE(I12:I14)</f>
        <v>178.333333333333</v>
      </c>
      <c r="M13" s="4"/>
      <c r="P13" s="4" t="s">
        <v>12</v>
      </c>
      <c r="Q13" s="4" t="n">
        <v>399</v>
      </c>
      <c r="R13" s="4" t="s">
        <v>20</v>
      </c>
      <c r="S13" s="3" t="s">
        <v>13</v>
      </c>
      <c r="T13" s="5" t="n">
        <f aca="false">STDEV(Q11:Q13)</f>
        <v>54.7205019470156</v>
      </c>
    </row>
    <row r="14" customFormat="false" ht="13.5" hidden="false" customHeight="false" outlineLevel="0" collapsed="false">
      <c r="A14" s="4"/>
      <c r="B14" s="4"/>
      <c r="C14" s="4"/>
      <c r="D14" s="3"/>
      <c r="E14" s="5"/>
      <c r="F14" s="4"/>
      <c r="G14" s="4"/>
      <c r="H14" s="4" t="s">
        <v>12</v>
      </c>
      <c r="I14" s="4" t="n">
        <v>175</v>
      </c>
      <c r="J14" s="4" t="s">
        <v>22</v>
      </c>
      <c r="K14" s="3" t="s">
        <v>13</v>
      </c>
      <c r="L14" s="7" t="n">
        <f aca="false">STDEV(I12:I14)</f>
        <v>25.1661147842359</v>
      </c>
      <c r="M14" s="4"/>
      <c r="P14" s="4"/>
      <c r="Q14" s="4"/>
      <c r="R14" s="4"/>
      <c r="S14" s="4"/>
      <c r="T14" s="5"/>
    </row>
    <row r="15" customFormat="false" ht="13.5" hidden="false" customHeight="false" outlineLevel="0" collapsed="false">
      <c r="A15" s="4" t="s">
        <v>6</v>
      </c>
      <c r="B15" s="4" t="n">
        <v>16</v>
      </c>
      <c r="C15" s="4" t="s">
        <v>8</v>
      </c>
      <c r="D15" s="3" t="s">
        <v>11</v>
      </c>
      <c r="E15" s="5" t="n">
        <f aca="false">AVERAGE(B15:B17)</f>
        <v>19.3333333333333</v>
      </c>
      <c r="F15" s="4"/>
      <c r="G15" s="4"/>
      <c r="H15" s="4"/>
      <c r="I15" s="4"/>
      <c r="J15" s="4"/>
      <c r="K15" s="4"/>
      <c r="L15" s="3"/>
      <c r="M15" s="4"/>
      <c r="P15" s="4" t="s">
        <v>6</v>
      </c>
      <c r="Q15" s="4" t="n">
        <v>449.32</v>
      </c>
      <c r="R15" s="4" t="s">
        <v>23</v>
      </c>
      <c r="S15" s="3" t="s">
        <v>11</v>
      </c>
      <c r="T15" s="5" t="n">
        <v>449.32</v>
      </c>
    </row>
    <row r="16" customFormat="false" ht="13.5" hidden="false" customHeight="false" outlineLevel="0" collapsed="false">
      <c r="A16" s="4" t="s">
        <v>10</v>
      </c>
      <c r="B16" s="4" t="n">
        <v>26</v>
      </c>
      <c r="C16" s="4" t="s">
        <v>8</v>
      </c>
      <c r="D16" s="3" t="s">
        <v>13</v>
      </c>
      <c r="E16" s="5" t="n">
        <f aca="false">STDEV(B15:B17)</f>
        <v>5.77350269189626</v>
      </c>
      <c r="F16" s="4"/>
      <c r="G16" s="4"/>
      <c r="H16" s="4" t="s">
        <v>6</v>
      </c>
      <c r="I16" s="4" t="n">
        <v>225</v>
      </c>
      <c r="J16" s="4" t="s">
        <v>24</v>
      </c>
      <c r="K16" s="4"/>
      <c r="L16" s="3"/>
      <c r="M16" s="4"/>
      <c r="P16" s="4"/>
      <c r="Q16" s="4"/>
      <c r="R16" s="4"/>
      <c r="S16" s="3" t="s">
        <v>13</v>
      </c>
      <c r="T16" s="5"/>
    </row>
    <row r="17" customFormat="false" ht="13.5" hidden="false" customHeight="false" outlineLevel="0" collapsed="false">
      <c r="A17" s="4" t="s">
        <v>12</v>
      </c>
      <c r="B17" s="4" t="n">
        <v>16</v>
      </c>
      <c r="C17" s="4" t="s">
        <v>8</v>
      </c>
      <c r="D17" s="3"/>
      <c r="E17" s="5"/>
      <c r="F17" s="4"/>
      <c r="G17" s="4"/>
      <c r="H17" s="4" t="s">
        <v>10</v>
      </c>
      <c r="I17" s="4" t="n">
        <v>183</v>
      </c>
      <c r="J17" s="4" t="s">
        <v>24</v>
      </c>
      <c r="K17" s="3" t="s">
        <v>11</v>
      </c>
      <c r="L17" s="7" t="n">
        <f aca="false">AVERAGE(I16:I18)</f>
        <v>202.666666666667</v>
      </c>
      <c r="M17" s="4"/>
      <c r="P17" s="4" t="s">
        <v>6</v>
      </c>
      <c r="Q17" s="4" t="n">
        <v>293</v>
      </c>
      <c r="R17" s="4" t="s">
        <v>25</v>
      </c>
      <c r="S17" s="4"/>
      <c r="T17" s="5"/>
    </row>
    <row r="18" customFormat="false" ht="13.5" hidden="false" customHeight="false" outlineLevel="0" collapsed="false">
      <c r="A18" s="4"/>
      <c r="B18" s="4"/>
      <c r="C18" s="4"/>
      <c r="D18" s="3"/>
      <c r="E18" s="5"/>
      <c r="F18" s="4"/>
      <c r="G18" s="4"/>
      <c r="H18" s="4" t="s">
        <v>12</v>
      </c>
      <c r="I18" s="4" t="n">
        <v>200</v>
      </c>
      <c r="J18" s="4" t="s">
        <v>24</v>
      </c>
      <c r="K18" s="3" t="s">
        <v>13</v>
      </c>
      <c r="L18" s="7" t="n">
        <f aca="false">STDEV(I16:I18)</f>
        <v>21.1266025033211</v>
      </c>
      <c r="M18" s="4"/>
      <c r="P18" s="4" t="s">
        <v>10</v>
      </c>
      <c r="Q18" s="4" t="n">
        <v>449</v>
      </c>
      <c r="R18" s="4" t="s">
        <v>25</v>
      </c>
      <c r="S18" s="3" t="s">
        <v>11</v>
      </c>
      <c r="T18" s="5" t="n">
        <f aca="false">AVERAGE(Q17:Q20)</f>
        <v>388.666666666667</v>
      </c>
    </row>
    <row r="19" customFormat="false" ht="13.5" hidden="false" customHeight="false" outlineLevel="0" collapsed="false">
      <c r="A19" s="4" t="s">
        <v>6</v>
      </c>
      <c r="B19" s="4" t="n">
        <v>80</v>
      </c>
      <c r="C19" s="4" t="s">
        <v>26</v>
      </c>
      <c r="D19" s="3" t="s">
        <v>11</v>
      </c>
      <c r="E19" s="5" t="n">
        <f aca="false">AVERAGE(B19:B20)</f>
        <v>77</v>
      </c>
      <c r="F19" s="4"/>
      <c r="G19" s="4"/>
      <c r="H19" s="4"/>
      <c r="I19" s="4"/>
      <c r="J19" s="4"/>
      <c r="K19" s="4"/>
      <c r="L19" s="3"/>
      <c r="M19" s="4"/>
      <c r="P19" s="4" t="s">
        <v>12</v>
      </c>
      <c r="Q19" s="4" t="n">
        <v>424</v>
      </c>
      <c r="R19" s="4" t="s">
        <v>25</v>
      </c>
      <c r="S19" s="3" t="s">
        <v>13</v>
      </c>
      <c r="T19" s="5" t="n">
        <f aca="false">STDEV(Q17:Q20)</f>
        <v>83.7874294469841</v>
      </c>
    </row>
    <row r="20" customFormat="false" ht="13.5" hidden="false" customHeight="false" outlineLevel="0" collapsed="false">
      <c r="A20" s="4" t="s">
        <v>10</v>
      </c>
      <c r="B20" s="4" t="n">
        <v>74</v>
      </c>
      <c r="C20" s="4" t="s">
        <v>26</v>
      </c>
      <c r="D20" s="3" t="s">
        <v>13</v>
      </c>
      <c r="E20" s="5" t="n">
        <f aca="false">STDEV(B19:B20)</f>
        <v>4.24264068711929</v>
      </c>
      <c r="F20" s="4"/>
      <c r="G20" s="4"/>
      <c r="H20" s="4" t="s">
        <v>6</v>
      </c>
      <c r="I20" s="4" t="n">
        <v>449</v>
      </c>
      <c r="J20" s="4" t="s">
        <v>27</v>
      </c>
      <c r="K20" s="3" t="s">
        <v>11</v>
      </c>
      <c r="L20" s="5" t="n">
        <v>449</v>
      </c>
      <c r="M20" s="4"/>
      <c r="P20" s="4"/>
      <c r="Q20" s="4"/>
      <c r="R20" s="4"/>
      <c r="S20" s="4"/>
      <c r="T20" s="4"/>
    </row>
    <row r="21" customFormat="false" ht="13.5" hidden="false" customHeight="false" outlineLevel="0" collapsed="false">
      <c r="A21" s="4"/>
      <c r="B21" s="4"/>
      <c r="C21" s="4"/>
      <c r="D21" s="3"/>
      <c r="E21" s="5"/>
      <c r="F21" s="4"/>
      <c r="G21" s="4"/>
      <c r="H21" s="4"/>
      <c r="I21" s="4"/>
      <c r="J21" s="4"/>
      <c r="K21" s="3" t="s">
        <v>13</v>
      </c>
      <c r="L21" s="3"/>
      <c r="M21" s="4"/>
      <c r="P21" s="4"/>
    </row>
    <row r="22" customFormat="false" ht="13.5" hidden="false" customHeight="false" outlineLevel="0" collapsed="false">
      <c r="A22" s="4" t="s">
        <v>6</v>
      </c>
      <c r="B22" s="4" t="n">
        <v>450</v>
      </c>
      <c r="C22" s="4" t="s">
        <v>27</v>
      </c>
      <c r="D22" s="3" t="s">
        <v>11</v>
      </c>
      <c r="E22" s="5" t="n">
        <f aca="false">AVERAGE(B22)</f>
        <v>450</v>
      </c>
      <c r="F22" s="4"/>
      <c r="G22" s="4"/>
      <c r="H22" s="4" t="s">
        <v>6</v>
      </c>
      <c r="I22" s="4" t="n">
        <v>180.96</v>
      </c>
      <c r="J22" s="4" t="s">
        <v>25</v>
      </c>
      <c r="K22" s="4"/>
      <c r="L22" s="3"/>
      <c r="M22" s="4"/>
      <c r="Q22" s="3"/>
      <c r="R22" s="3"/>
      <c r="S22" s="4"/>
      <c r="T22" s="3"/>
    </row>
    <row r="23" customFormat="false" ht="13.5" hidden="false" customHeight="false" outlineLevel="0" collapsed="false">
      <c r="A23" s="4"/>
      <c r="B23" s="4"/>
      <c r="C23" s="4"/>
      <c r="D23" s="3" t="s">
        <v>13</v>
      </c>
      <c r="E23" s="5" t="n">
        <v>0</v>
      </c>
      <c r="F23" s="4"/>
      <c r="G23" s="4"/>
      <c r="H23" s="4" t="s">
        <v>10</v>
      </c>
      <c r="I23" s="4" t="n">
        <v>149.43</v>
      </c>
      <c r="J23" s="4" t="s">
        <v>25</v>
      </c>
      <c r="K23" s="4"/>
      <c r="L23" s="5" t="n">
        <f aca="false">AVERAGE(I22:I25)</f>
        <v>168.705</v>
      </c>
      <c r="M23" s="4"/>
      <c r="Q23" s="4"/>
      <c r="R23" s="4"/>
      <c r="S23" s="4"/>
      <c r="T23" s="5"/>
    </row>
    <row r="24" customFormat="false" ht="13.5" hidden="false" customHeight="false" outlineLevel="0" collapsed="false">
      <c r="A24" s="4"/>
      <c r="B24" s="4"/>
      <c r="C24" s="4"/>
      <c r="D24" s="4"/>
      <c r="E24" s="3"/>
      <c r="F24" s="4"/>
      <c r="G24" s="4"/>
      <c r="H24" s="4" t="s">
        <v>12</v>
      </c>
      <c r="I24" s="4" t="n">
        <v>198.43</v>
      </c>
      <c r="J24" s="4" t="s">
        <v>25</v>
      </c>
      <c r="K24" s="4"/>
      <c r="L24" s="5" t="n">
        <f aca="false">STDEV(I22:I25)</f>
        <v>25.3035129313435</v>
      </c>
      <c r="M24" s="4"/>
    </row>
    <row r="25" customFormat="false" ht="13.5" hidden="false" customHeight="false" outlineLevel="0" collapsed="false">
      <c r="A25" s="4"/>
      <c r="B25" s="4"/>
      <c r="C25" s="4"/>
      <c r="D25" s="4"/>
      <c r="E25" s="4"/>
      <c r="F25" s="4"/>
      <c r="G25" s="4"/>
      <c r="H25" s="4" t="s">
        <v>12</v>
      </c>
      <c r="I25" s="4" t="n">
        <v>146</v>
      </c>
      <c r="J25" s="4" t="s">
        <v>25</v>
      </c>
      <c r="K25" s="4"/>
      <c r="L25" s="4"/>
      <c r="M25" s="4"/>
    </row>
  </sheetData>
  <mergeCells count="3">
    <mergeCell ref="A1:H1"/>
    <mergeCell ref="I1:O1"/>
    <mergeCell ref="Q1:AA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2024-09-23T10:37:58Z</dcterms:created>
  <dc:creator>Mengistu Jemberu Dagnaw</dc:creator>
  <dc:description/>
  <dc:language>en-US</dc:language>
  <cp:lastModifiedBy/>
  <dcterms:modified xsi:type="dcterms:W3CDTF">2025-10-22T22:31:50Z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